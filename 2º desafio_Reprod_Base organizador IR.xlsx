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Santander Excel com IA\Bloco 2 - Fórmulas Matemáticas\2º Desafio - Criando uma Ferramenta de Controle de Investimentos com Excel\"/>
    </mc:Choice>
  </mc:AlternateContent>
  <xr:revisionPtr revIDLastSave="0" documentId="13_ncr:1_{0AE76166-3218-42D2-B972-4C6B7FD913E6}" xr6:coauthVersionLast="47" xr6:coauthVersionMax="47" xr10:uidLastSave="{00000000-0000-0000-0000-000000000000}"/>
  <bookViews>
    <workbookView xWindow="-108" yWindow="-108" windowWidth="23256" windowHeight="12456" tabRatio="0" xr2:uid="{78529401-B9D9-43A9-A131-25503064556A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3" i="5" l="1"/>
  <c r="N33" i="5"/>
  <c r="N32" i="5"/>
  <c r="N31" i="5"/>
  <c r="M32" i="5"/>
  <c r="M31" i="5"/>
  <c r="C7" i="2"/>
</calcChain>
</file>

<file path=xl/sharedStrings.xml><?xml version="1.0" encoding="utf-8"?>
<sst xmlns="http://schemas.openxmlformats.org/spreadsheetml/2006/main" count="96" uniqueCount="86">
  <si>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</si>
  <si>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</si>
  <si>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</si>
  <si>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</si>
  <si>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</si>
  <si>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</si>
  <si>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</si>
  <si>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</si>
  <si>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</si>
  <si>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</si>
  <si>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</si>
  <si>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</si>
  <si>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</si>
  <si>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</si>
  <si>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</si>
  <si>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de sua pessoa física abaixo.</t>
  </si>
  <si>
    <t>2. INFORMES DE RENDIMENTOS BANCÁRIOS</t>
  </si>
  <si>
    <t>Preencha os dados atuais de cada banco</t>
  </si>
  <si>
    <t>BANCO</t>
  </si>
  <si>
    <t>VALOR ATUAL</t>
  </si>
  <si>
    <t>ANEXOS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</si>
  <si>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</si>
  <si>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</si>
  <si>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</si>
  <si>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</si>
  <si>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</si>
  <si>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</si>
  <si>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</si>
  <si>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</si>
  <si>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</si>
  <si>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</si>
  <si>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</si>
  <si>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</si>
  <si>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</si>
  <si>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</si>
  <si>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</si>
  <si>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</si>
  <si>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</si>
  <si>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</si>
  <si>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</si>
  <si>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</si>
  <si>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</si>
  <si>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</si>
  <si>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</si>
  <si>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</si>
  <si>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</si>
  <si>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</si>
  <si>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</si>
  <si>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</si>
  <si>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</si>
  <si>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</si>
  <si>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</si>
  <si>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</si>
  <si>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</si>
  <si>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</si>
  <si>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</si>
  <si>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</si>
  <si>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</si>
  <si>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</si>
  <si>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</si>
  <si>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</si>
  <si>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</si>
  <si>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</si>
  <si>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</si>
  <si>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</si>
  <si>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</si>
  <si>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</si>
  <si>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</si>
  <si>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</si>
  <si>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</si>
  <si>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</si>
  <si>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</si>
  <si>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</si>
  <si>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</si>
  <si>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</si>
  <si>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</si>
  <si>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</si>
  <si>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 DE HOLERITE</t>
  </si>
  <si>
    <t>DATA</t>
  </si>
  <si>
    <t>CATEGORIA</t>
  </si>
  <si>
    <t>VALOR</t>
  </si>
  <si>
    <t>ENTRADAS</t>
  </si>
  <si>
    <t>BANCOY.PDF</t>
  </si>
  <si>
    <t>BANCOZ.PDF</t>
  </si>
  <si>
    <t>Todos os valores de entrada mês a mês de receita</t>
  </si>
  <si>
    <t>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</si>
</sst>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\ 0000&quot;-&quot;0000"/>
    <numFmt numFmtId="168" formatCode="&quot;R$&quot;\ #,##0.00"/>
    <numFmt numFmtId="169" formatCode="mmmm\-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i/>
      <sz val="11"/>
      <color theme="2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249977111117893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left"/>
    </xf>
    <xf numFmtId="0" fontId="1" fillId="0" borderId="3" xfId="1" applyBorder="1"/>
    <xf numFmtId="0" fontId="4" fillId="5" borderId="0" xfId="0" applyFont="1" applyFill="1"/>
    <xf numFmtId="0" fontId="9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11" fillId="0" borderId="0" xfId="0" applyNumberFormat="1" applyFont="1" applyAlignment="1" applyProtection="1">
      <alignment horizontal="center" vertical="center"/>
      <protection locked="0"/>
    </xf>
    <xf numFmtId="0" fontId="0" fillId="0" borderId="3" xfId="0" applyBorder="1"/>
    <xf numFmtId="0" fontId="7" fillId="7" borderId="0" xfId="0" applyFont="1" applyFill="1" applyAlignment="1">
      <alignment vertical="center"/>
    </xf>
    <xf numFmtId="168" fontId="0" fillId="0" borderId="0" xfId="0" applyNumberFormat="1"/>
    <xf numFmtId="0" fontId="4" fillId="5" borderId="0" xfId="0" applyFont="1" applyFill="1" applyAlignment="1">
      <alignment horizontal="center"/>
    </xf>
    <xf numFmtId="0" fontId="7" fillId="4" borderId="4" xfId="0" applyFont="1" applyFill="1" applyBorder="1" applyAlignment="1">
      <alignment horizontal="left" vertical="center"/>
    </xf>
    <xf numFmtId="168" fontId="10" fillId="3" borderId="0" xfId="2" applyNumberFormat="1" applyFont="1" applyAlignment="1">
      <alignment horizontal="center" vertical="center"/>
    </xf>
    <xf numFmtId="0" fontId="10" fillId="3" borderId="0" xfId="2" applyFont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7" fillId="4" borderId="0" xfId="0" applyFont="1" applyFill="1" applyAlignment="1">
      <alignment horizontal="left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TABELAS!$N$30</c:f>
              <c:strCache>
                <c:ptCount val="1"/>
                <c:pt idx="0">
                  <c:v>VALOR ATUAL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TABELAS!$M$31:$M$33</c:f>
              <c:strCache>
                <c:ptCount val="3"/>
                <c:pt idx="0">
                  <c:v>33 - Banco Santander</c:v>
                </c:pt>
                <c:pt idx="1">
                  <c:v>104 - Caixa Econômica Federal</c:v>
                </c:pt>
                <c:pt idx="2">
                  <c:v>77 - Banco Inter</c:v>
                </c:pt>
              </c:strCache>
            </c:strRef>
          </c:cat>
          <c:val>
            <c:numRef>
              <c:f>TABELAS!$N$31:$N$33</c:f>
              <c:numCache>
                <c:formatCode>"R$"\ #,##0.00</c:formatCode>
                <c:ptCount val="3"/>
                <c:pt idx="0">
                  <c:v>5000</c:v>
                </c:pt>
                <c:pt idx="1">
                  <c:v>10000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1-4057-B0A2-01F242FF4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493536"/>
        <c:axId val="1428801072"/>
      </c:barChart>
      <c:catAx>
        <c:axId val="14264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801072"/>
        <c:crosses val="autoZero"/>
        <c:auto val="1"/>
        <c:lblAlgn val="ctr"/>
        <c:lblOffset val="100"/>
        <c:noMultiLvlLbl val="0"/>
      </c:catAx>
      <c:valAx>
        <c:axId val="14288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4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129540</xdr:rowOff>
    </xdr:from>
    <xdr:to>
      <xdr:col>0</xdr:col>
      <xdr:colOff>1474470</xdr:colOff>
      <xdr:row>6</xdr:row>
      <xdr:rowOff>190500</xdr:rowOff>
    </xdr:to>
    <xdr:pic>
      <xdr:nvPicPr>
        <xdr:cNvPr id="7" name="Imagem 6" descr="Lion - Free animals icons">
          <a:extLst>
            <a:ext uri="{FF2B5EF4-FFF2-40B4-BE49-F238E27FC236}">
              <a16:creationId xmlns:a16="http://schemas.microsoft.com/office/drawing/2014/main" id="{D2806D61-C69B-4FDD-F8F8-E38F9D5C1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49530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</xdr:colOff>
      <xdr:row>0</xdr:row>
      <xdr:rowOff>129540</xdr:rowOff>
    </xdr:from>
    <xdr:to>
      <xdr:col>0</xdr:col>
      <xdr:colOff>1973580</xdr:colOff>
      <xdr:row>2</xdr:row>
      <xdr:rowOff>45720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31496D9-EEE4-2DD3-77EF-98380E96A96E}"/>
            </a:ext>
          </a:extLst>
        </xdr:cNvPr>
        <xdr:cNvSpPr/>
      </xdr:nvSpPr>
      <xdr:spPr>
        <a:xfrm>
          <a:off x="7620" y="129540"/>
          <a:ext cx="1965960" cy="281940"/>
        </a:xfrm>
        <a:prstGeom prst="rect">
          <a:avLst/>
        </a:prstGeom>
        <a:gradFill>
          <a:gsLst>
            <a:gs pos="1000">
              <a:schemeClr val="bg1">
                <a:alpha val="63000"/>
                <a:lumMod val="80000"/>
                <a:lumOff val="20000"/>
              </a:schemeClr>
            </a:gs>
            <a:gs pos="100000">
              <a:srgbClr val="6124E8"/>
            </a:gs>
            <a:gs pos="61000">
              <a:srgbClr val="EE37BF">
                <a:lumMod val="100000"/>
              </a:srgbClr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98000">
                    <a:srgbClr val="6124E8"/>
                  </a:gs>
                  <a:gs pos="63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100000">
                    <a:schemeClr val="bg1">
                      <a:lumMod val="70000"/>
                      <a:lumOff val="30000"/>
                    </a:schemeClr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100000">
                  <a:schemeClr val="bg1">
                    <a:lumMod val="70000"/>
                    <a:lumOff val="30000"/>
                  </a:schemeClr>
                </a:gs>
                <a:gs pos="56000">
                  <a:srgbClr val="6124E8"/>
                </a:gs>
                <a:gs pos="42000">
                  <a:srgbClr val="EE37BF">
                    <a:lumMod val="59000"/>
                    <a:lumOff val="41000"/>
                    <a:alpha val="75000"/>
                  </a:srgb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53340</xdr:rowOff>
    </xdr:from>
    <xdr:to>
      <xdr:col>0</xdr:col>
      <xdr:colOff>1887855</xdr:colOff>
      <xdr:row>11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EFB2C-4F8E-BC71-B5EB-C47795DED73F}"/>
            </a:ext>
          </a:extLst>
        </xdr:cNvPr>
        <xdr:cNvSpPr/>
      </xdr:nvSpPr>
      <xdr:spPr>
        <a:xfrm>
          <a:off x="66675" y="1965960"/>
          <a:ext cx="1821180" cy="48768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alpha val="63000"/>
                <a:lumMod val="80000"/>
                <a:lumOff val="20000"/>
              </a:srgbClr>
            </a:gs>
            <a:gs pos="16000">
              <a:srgbClr val="EE37BF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19050</xdr:rowOff>
    </xdr:from>
    <xdr:to>
      <xdr:col>0</xdr:col>
      <xdr:colOff>1887855</xdr:colOff>
      <xdr:row>14</xdr:row>
      <xdr:rowOff>80010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A8C620-C81E-4496-BE16-D09576B4439F}"/>
            </a:ext>
          </a:extLst>
        </xdr:cNvPr>
        <xdr:cNvSpPr/>
      </xdr:nvSpPr>
      <xdr:spPr>
        <a:xfrm>
          <a:off x="66675" y="257175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14</xdr:row>
      <xdr:rowOff>198120</xdr:rowOff>
    </xdr:from>
    <xdr:to>
      <xdr:col>0</xdr:col>
      <xdr:colOff>1887855</xdr:colOff>
      <xdr:row>17</xdr:row>
      <xdr:rowOff>45720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265AC4-AA29-47DE-9B0B-DC5D20BE0AE7}"/>
            </a:ext>
          </a:extLst>
        </xdr:cNvPr>
        <xdr:cNvSpPr/>
      </xdr:nvSpPr>
      <xdr:spPr>
        <a:xfrm>
          <a:off x="66675" y="317754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19</xdr:row>
      <xdr:rowOff>83820</xdr:rowOff>
    </xdr:from>
    <xdr:to>
      <xdr:col>0</xdr:col>
      <xdr:colOff>1752600</xdr:colOff>
      <xdr:row>21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13930FE-36B8-9718-6D5B-68CB5B4E27FA}"/>
            </a:ext>
          </a:extLst>
        </xdr:cNvPr>
        <xdr:cNvSpPr/>
      </xdr:nvSpPr>
      <xdr:spPr>
        <a:xfrm>
          <a:off x="381000" y="4130040"/>
          <a:ext cx="137160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LION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281940</xdr:colOff>
      <xdr:row>18</xdr:row>
      <xdr:rowOff>182880</xdr:rowOff>
    </xdr:from>
    <xdr:to>
      <xdr:col>0</xdr:col>
      <xdr:colOff>1874520</xdr:colOff>
      <xdr:row>18</xdr:row>
      <xdr:rowOff>182880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0C3BD99-D7F9-1282-C584-E1CF12CF4646}"/>
            </a:ext>
          </a:extLst>
        </xdr:cNvPr>
        <xdr:cNvCxnSpPr/>
      </xdr:nvCxnSpPr>
      <xdr:spPr>
        <a:xfrm>
          <a:off x="281940" y="4015740"/>
          <a:ext cx="159258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7620</xdr:colOff>
      <xdr:row>19</xdr:row>
      <xdr:rowOff>99060</xdr:rowOff>
    </xdr:from>
    <xdr:to>
      <xdr:col>3</xdr:col>
      <xdr:colOff>2979420</xdr:colOff>
      <xdr:row>21</xdr:row>
      <xdr:rowOff>53340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F49515-EB68-3238-4DA0-3AD5103D6605}"/>
            </a:ext>
          </a:extLst>
        </xdr:cNvPr>
        <xdr:cNvSpPr/>
      </xdr:nvSpPr>
      <xdr:spPr>
        <a:xfrm>
          <a:off x="5448300" y="4145280"/>
          <a:ext cx="2971800" cy="32004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129540</xdr:rowOff>
    </xdr:from>
    <xdr:to>
      <xdr:col>0</xdr:col>
      <xdr:colOff>1474470</xdr:colOff>
      <xdr:row>6</xdr:row>
      <xdr:rowOff>190500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F5617BA-8F3A-45B8-8C34-F97F514F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49530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</xdr:colOff>
      <xdr:row>0</xdr:row>
      <xdr:rowOff>129540</xdr:rowOff>
    </xdr:from>
    <xdr:to>
      <xdr:col>0</xdr:col>
      <xdr:colOff>1973580</xdr:colOff>
      <xdr:row>2</xdr:row>
      <xdr:rowOff>45720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EA7E459-2FA7-4BF3-AED1-F90E940FB57D}"/>
            </a:ext>
          </a:extLst>
        </xdr:cNvPr>
        <xdr:cNvSpPr/>
      </xdr:nvSpPr>
      <xdr:spPr>
        <a:xfrm>
          <a:off x="7620" y="129540"/>
          <a:ext cx="1965960" cy="281940"/>
        </a:xfrm>
        <a:prstGeom prst="rect">
          <a:avLst/>
        </a:prstGeom>
        <a:gradFill>
          <a:gsLst>
            <a:gs pos="1000">
              <a:schemeClr val="bg1">
                <a:alpha val="63000"/>
                <a:lumMod val="80000"/>
                <a:lumOff val="20000"/>
              </a:schemeClr>
            </a:gs>
            <a:gs pos="100000">
              <a:srgbClr val="6124E8"/>
            </a:gs>
            <a:gs pos="61000">
              <a:srgbClr val="EE37BF">
                <a:lumMod val="100000"/>
              </a:srgbClr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98000">
                    <a:srgbClr val="6124E8"/>
                  </a:gs>
                  <a:gs pos="63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100000">
                    <a:schemeClr val="bg1">
                      <a:lumMod val="70000"/>
                      <a:lumOff val="30000"/>
                    </a:schemeClr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100000">
                  <a:schemeClr val="bg1">
                    <a:lumMod val="70000"/>
                    <a:lumOff val="30000"/>
                  </a:schemeClr>
                </a:gs>
                <a:gs pos="56000">
                  <a:srgbClr val="6124E8"/>
                </a:gs>
                <a:gs pos="42000">
                  <a:srgbClr val="EE37BF">
                    <a:lumMod val="59000"/>
                    <a:lumOff val="41000"/>
                    <a:alpha val="75000"/>
                  </a:srgb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15240</xdr:rowOff>
    </xdr:from>
    <xdr:to>
      <xdr:col>0</xdr:col>
      <xdr:colOff>1887855</xdr:colOff>
      <xdr:row>11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24F01D-7B3B-434F-97DA-53E4E94AFDC7}"/>
            </a:ext>
          </a:extLst>
        </xdr:cNvPr>
        <xdr:cNvSpPr/>
      </xdr:nvSpPr>
      <xdr:spPr>
        <a:xfrm>
          <a:off x="66675" y="196596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66675</xdr:colOff>
      <xdr:row>11</xdr:row>
      <xdr:rowOff>194310</xdr:rowOff>
    </xdr:from>
    <xdr:to>
      <xdr:col>0</xdr:col>
      <xdr:colOff>1887855</xdr:colOff>
      <xdr:row>14</xdr:row>
      <xdr:rowOff>102870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B7C50C-B59C-4F83-BD03-E9A09D4C2E30}"/>
            </a:ext>
          </a:extLst>
        </xdr:cNvPr>
        <xdr:cNvSpPr/>
      </xdr:nvSpPr>
      <xdr:spPr>
        <a:xfrm>
          <a:off x="66675" y="2571750"/>
          <a:ext cx="1821180" cy="48768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alpha val="63000"/>
                <a:lumMod val="80000"/>
                <a:lumOff val="20000"/>
              </a:srgbClr>
            </a:gs>
            <a:gs pos="16000">
              <a:srgbClr val="EE37BF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15</xdr:row>
      <xdr:rowOff>7620</xdr:rowOff>
    </xdr:from>
    <xdr:to>
      <xdr:col>0</xdr:col>
      <xdr:colOff>1887855</xdr:colOff>
      <xdr:row>17</xdr:row>
      <xdr:rowOff>68580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977064-11B7-48FB-9467-4CD3B539624E}"/>
            </a:ext>
          </a:extLst>
        </xdr:cNvPr>
        <xdr:cNvSpPr/>
      </xdr:nvSpPr>
      <xdr:spPr>
        <a:xfrm>
          <a:off x="66675" y="317754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19</xdr:row>
      <xdr:rowOff>167640</xdr:rowOff>
    </xdr:from>
    <xdr:to>
      <xdr:col>0</xdr:col>
      <xdr:colOff>1767840</xdr:colOff>
      <xdr:row>21</xdr:row>
      <xdr:rowOff>99060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65ABDC0-CCEA-4353-945A-F03F4C6F479A}"/>
            </a:ext>
          </a:extLst>
        </xdr:cNvPr>
        <xdr:cNvSpPr/>
      </xdr:nvSpPr>
      <xdr:spPr>
        <a:xfrm>
          <a:off x="381000" y="4130040"/>
          <a:ext cx="138684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LION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259080</xdr:colOff>
      <xdr:row>19</xdr:row>
      <xdr:rowOff>30480</xdr:rowOff>
    </xdr:from>
    <xdr:to>
      <xdr:col>0</xdr:col>
      <xdr:colOff>1851660</xdr:colOff>
      <xdr:row>19</xdr:row>
      <xdr:rowOff>30480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421EA0E-9818-499F-A9BA-4BAF48010B4A}"/>
            </a:ext>
          </a:extLst>
        </xdr:cNvPr>
        <xdr:cNvCxnSpPr/>
      </xdr:nvCxnSpPr>
      <xdr:spPr>
        <a:xfrm>
          <a:off x="259080" y="3992880"/>
          <a:ext cx="159258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22</xdr:row>
      <xdr:rowOff>121920</xdr:rowOff>
    </xdr:from>
    <xdr:to>
      <xdr:col>3</xdr:col>
      <xdr:colOff>2971800</xdr:colOff>
      <xdr:row>24</xdr:row>
      <xdr:rowOff>76200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3E5DE8-302C-4021-B844-BA1075765CCB}"/>
            </a:ext>
          </a:extLst>
        </xdr:cNvPr>
        <xdr:cNvSpPr/>
      </xdr:nvSpPr>
      <xdr:spPr>
        <a:xfrm>
          <a:off x="5440680" y="4724400"/>
          <a:ext cx="2971800" cy="32004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/>
            <a:t>PRÓXIMO-&gt;</a:t>
          </a:r>
        </a:p>
      </xdr:txBody>
    </xdr:sp>
    <xdr:clientData/>
  </xdr:twoCellAnchor>
  <xdr:twoCellAnchor editAs="absolute">
    <xdr:from>
      <xdr:col>2</xdr:col>
      <xdr:colOff>0</xdr:colOff>
      <xdr:row>22</xdr:row>
      <xdr:rowOff>121920</xdr:rowOff>
    </xdr:from>
    <xdr:to>
      <xdr:col>2</xdr:col>
      <xdr:colOff>2781300</xdr:colOff>
      <xdr:row>24</xdr:row>
      <xdr:rowOff>76200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048B07-EC63-4A4F-AD93-6D0BAEA43A32}"/>
            </a:ext>
          </a:extLst>
        </xdr:cNvPr>
        <xdr:cNvSpPr/>
      </xdr:nvSpPr>
      <xdr:spPr>
        <a:xfrm>
          <a:off x="2613660" y="4724400"/>
          <a:ext cx="2781300" cy="32004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/>
            <a:t>&lt;-ANTERIOR</a:t>
          </a:r>
        </a:p>
      </xdr:txBody>
    </xdr:sp>
    <xdr:clientData/>
  </xdr:twoCellAnchor>
  <xdr:twoCellAnchor>
    <xdr:from>
      <xdr:col>4</xdr:col>
      <xdr:colOff>289560</xdr:colOff>
      <xdr:row>8</xdr:row>
      <xdr:rowOff>144780</xdr:rowOff>
    </xdr:from>
    <xdr:to>
      <xdr:col>11</xdr:col>
      <xdr:colOff>594360</xdr:colOff>
      <xdr:row>22</xdr:row>
      <xdr:rowOff>53340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0F07BA2-E135-46C8-8BE4-5A73AFC05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129540</xdr:rowOff>
    </xdr:from>
    <xdr:to>
      <xdr:col>0</xdr:col>
      <xdr:colOff>1474470</xdr:colOff>
      <xdr:row>7</xdr:row>
      <xdr:rowOff>7620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EF614C3-1024-40DB-91F2-2B956F1E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49530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</xdr:colOff>
      <xdr:row>0</xdr:row>
      <xdr:rowOff>129540</xdr:rowOff>
    </xdr:from>
    <xdr:to>
      <xdr:col>0</xdr:col>
      <xdr:colOff>1973580</xdr:colOff>
      <xdr:row>2</xdr:row>
      <xdr:rowOff>45720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DCB197E-9136-45AC-BE13-37BB901CCD78}"/>
            </a:ext>
          </a:extLst>
        </xdr:cNvPr>
        <xdr:cNvSpPr/>
      </xdr:nvSpPr>
      <xdr:spPr>
        <a:xfrm>
          <a:off x="7620" y="129540"/>
          <a:ext cx="1965960" cy="281940"/>
        </a:xfrm>
        <a:prstGeom prst="rect">
          <a:avLst/>
        </a:prstGeom>
        <a:gradFill>
          <a:gsLst>
            <a:gs pos="1000">
              <a:schemeClr val="bg1">
                <a:alpha val="63000"/>
                <a:lumMod val="80000"/>
                <a:lumOff val="20000"/>
              </a:schemeClr>
            </a:gs>
            <a:gs pos="100000">
              <a:srgbClr val="6124E8"/>
            </a:gs>
            <a:gs pos="61000">
              <a:srgbClr val="EE37BF">
                <a:lumMod val="100000"/>
              </a:srgbClr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98000">
                    <a:srgbClr val="6124E8"/>
                  </a:gs>
                  <a:gs pos="63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100000">
                    <a:schemeClr val="bg1">
                      <a:lumMod val="70000"/>
                      <a:lumOff val="30000"/>
                    </a:schemeClr>
                  </a:gs>
                  <a:gs pos="56000">
                    <a:srgbClr val="6124E8"/>
                  </a:gs>
                  <a:gs pos="42000">
                    <a:srgbClr val="EE37BF">
                      <a:lumMod val="59000"/>
                      <a:lumOff val="41000"/>
                      <a:alpha val="75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>
              <a:gsLst>
                <a:gs pos="100000">
                  <a:schemeClr val="bg1">
                    <a:lumMod val="70000"/>
                    <a:lumOff val="30000"/>
                  </a:schemeClr>
                </a:gs>
                <a:gs pos="56000">
                  <a:srgbClr val="6124E8"/>
                </a:gs>
                <a:gs pos="42000">
                  <a:srgbClr val="EE37BF">
                    <a:lumMod val="59000"/>
                    <a:lumOff val="41000"/>
                    <a:alpha val="75000"/>
                  </a:srgb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83820</xdr:rowOff>
    </xdr:from>
    <xdr:to>
      <xdr:col>0</xdr:col>
      <xdr:colOff>1887855</xdr:colOff>
      <xdr:row>11</xdr:row>
      <xdr:rowOff>144780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C8CD49-5F21-40B0-9A1F-4B596DDD4FEF}"/>
            </a:ext>
          </a:extLst>
        </xdr:cNvPr>
        <xdr:cNvSpPr/>
      </xdr:nvSpPr>
      <xdr:spPr>
        <a:xfrm>
          <a:off x="66675" y="196596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49530</xdr:rowOff>
    </xdr:from>
    <xdr:to>
      <xdr:col>0</xdr:col>
      <xdr:colOff>1887855</xdr:colOff>
      <xdr:row>14</xdr:row>
      <xdr:rowOff>110490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F1B9FC-246C-4507-8645-697FCC0E0DFB}"/>
            </a:ext>
          </a:extLst>
        </xdr:cNvPr>
        <xdr:cNvSpPr/>
      </xdr:nvSpPr>
      <xdr:spPr>
        <a:xfrm>
          <a:off x="66675" y="2571750"/>
          <a:ext cx="1821180" cy="4876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15</xdr:row>
      <xdr:rowOff>15240</xdr:rowOff>
    </xdr:from>
    <xdr:to>
      <xdr:col>0</xdr:col>
      <xdr:colOff>1887855</xdr:colOff>
      <xdr:row>17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D940F0-A19B-455E-ADB0-8B17EA56C37D}"/>
            </a:ext>
          </a:extLst>
        </xdr:cNvPr>
        <xdr:cNvSpPr/>
      </xdr:nvSpPr>
      <xdr:spPr>
        <a:xfrm>
          <a:off x="66675" y="3177540"/>
          <a:ext cx="1821180" cy="48768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alpha val="63000"/>
                <a:lumMod val="80000"/>
                <a:lumOff val="20000"/>
              </a:srgbClr>
            </a:gs>
            <a:gs pos="16000">
              <a:srgbClr val="EE37BF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19</xdr:row>
      <xdr:rowOff>114300</xdr:rowOff>
    </xdr:from>
    <xdr:to>
      <xdr:col>0</xdr:col>
      <xdr:colOff>1722120</xdr:colOff>
      <xdr:row>21</xdr:row>
      <xdr:rowOff>45720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6F6825E-3C6C-46E0-A3B2-5E19C2519461}"/>
            </a:ext>
          </a:extLst>
        </xdr:cNvPr>
        <xdr:cNvSpPr/>
      </xdr:nvSpPr>
      <xdr:spPr>
        <a:xfrm>
          <a:off x="381000" y="4130040"/>
          <a:ext cx="134112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LION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259080</xdr:colOff>
      <xdr:row>18</xdr:row>
      <xdr:rowOff>190500</xdr:rowOff>
    </xdr:from>
    <xdr:to>
      <xdr:col>0</xdr:col>
      <xdr:colOff>1851660</xdr:colOff>
      <xdr:row>18</xdr:row>
      <xdr:rowOff>190500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32D6B9E-144A-4F3E-9328-F14C4AB0E673}"/>
            </a:ext>
          </a:extLst>
        </xdr:cNvPr>
        <xdr:cNvCxnSpPr/>
      </xdr:nvCxnSpPr>
      <xdr:spPr>
        <a:xfrm>
          <a:off x="259080" y="3992880"/>
          <a:ext cx="159258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594360</xdr:colOff>
      <xdr:row>4</xdr:row>
      <xdr:rowOff>114300</xdr:rowOff>
    </xdr:from>
    <xdr:to>
      <xdr:col>2</xdr:col>
      <xdr:colOff>1203960</xdr:colOff>
      <xdr:row>5</xdr:row>
      <xdr:rowOff>129540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483CC2-8C22-4236-A231-41B085971F51}"/>
            </a:ext>
          </a:extLst>
        </xdr:cNvPr>
        <xdr:cNvSpPr/>
      </xdr:nvSpPr>
      <xdr:spPr>
        <a:xfrm>
          <a:off x="2598420" y="990600"/>
          <a:ext cx="1219200" cy="19812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9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86AB31-2EDD-41AB-876E-334BF6FA01FA}" name="Tabela2" displayName="Tabela2" ref="C8:E34" totalsRowShown="0" headerRowDxfId="4" dataDxfId="3">
  <autoFilter ref="C8:E34" xr:uid="{BD86AB31-2EDD-41AB-876E-334BF6FA01FA}"/>
  <tableColumns count="3">
    <tableColumn id="1" xr3:uid="{B9645E63-59B0-41FA-BE98-F197BFE0D244}" name="DATA" dataDxfId="2"/>
    <tableColumn id="2" xr3:uid="{DFE42522-A894-492F-95AF-7059FCD7D542}" name="CATEGORIA" dataDxfId="1"/>
    <tableColumn id="3" xr3:uid="{A237A758-B724-4B01-AF65-7AC752A19165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rtlCol="0" anchor="ctr"/>
      <a:lstStyle>
        <a:defPPr algn="ctr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9B5F-7842-4FB4-9441-30E903181ED0}">
  <sheetPr codeName="Planilha1"/>
  <dimension ref="A3:E19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29.21875" style="1" customWidth="1"/>
    <col min="3" max="3" width="41.21875" customWidth="1"/>
    <col min="4" max="4" width="43.77734375" customWidth="1"/>
  </cols>
  <sheetData>
    <row r="3" spans="3:5" ht="20.399999999999999" thickBot="1" x14ac:dyDescent="0.45">
      <c r="C3" s="3" t="s">
        <v>14</v>
      </c>
      <c r="D3" s="3"/>
    </row>
    <row r="4" spans="3:5" ht="19.95" customHeight="1" thickTop="1" x14ac:dyDescent="0.3">
      <c r="C4" s="23" t="s">
        <v>15</v>
      </c>
      <c r="D4" s="23"/>
      <c r="E4" s="20"/>
    </row>
    <row r="6" spans="3:5" ht="16.8" x14ac:dyDescent="0.4">
      <c r="C6" s="2" t="s">
        <v>0</v>
      </c>
      <c r="D6" s="8"/>
    </row>
    <row r="7" spans="3:5" ht="16.8" x14ac:dyDescent="0.4">
      <c r="C7" s="2" t="s">
        <v>1</v>
      </c>
      <c r="D7" s="9"/>
    </row>
    <row r="8" spans="3:5" ht="16.8" x14ac:dyDescent="0.4">
      <c r="C8" s="2" t="s">
        <v>2</v>
      </c>
      <c r="D8" s="10"/>
    </row>
    <row r="9" spans="3:5" ht="16.8" x14ac:dyDescent="0.4">
      <c r="C9" s="2" t="s">
        <v>3</v>
      </c>
      <c r="D9" s="8"/>
    </row>
    <row r="10" spans="3:5" ht="16.8" x14ac:dyDescent="0.4">
      <c r="C10" s="2" t="s">
        <v>4</v>
      </c>
      <c r="D10" s="8"/>
    </row>
    <row r="11" spans="3:5" ht="16.8" x14ac:dyDescent="0.4">
      <c r="C11" s="2" t="s">
        <v>5</v>
      </c>
      <c r="D11" s="8"/>
    </row>
    <row r="12" spans="3:5" ht="16.8" x14ac:dyDescent="0.4">
      <c r="C12" s="2" t="s">
        <v>6</v>
      </c>
      <c r="D12" s="8"/>
    </row>
    <row r="13" spans="3:5" ht="16.8" x14ac:dyDescent="0.4">
      <c r="C13" s="2" t="s">
        <v>7</v>
      </c>
      <c r="D13" s="11"/>
    </row>
    <row r="14" spans="3:5" ht="16.8" x14ac:dyDescent="0.4">
      <c r="C14" s="2" t="s">
        <v>8</v>
      </c>
      <c r="D14" s="12"/>
    </row>
    <row r="15" spans="3:5" ht="16.8" x14ac:dyDescent="0.4">
      <c r="C15" s="2" t="s">
        <v>9</v>
      </c>
      <c r="D15" s="13"/>
    </row>
    <row r="16" spans="3:5" ht="16.8" x14ac:dyDescent="0.4">
      <c r="C16" s="2" t="s">
        <v>10</v>
      </c>
      <c r="D16" s="14"/>
    </row>
    <row r="17" spans="3:4" ht="16.8" x14ac:dyDescent="0.4">
      <c r="C17" s="2" t="s">
        <v>11</v>
      </c>
      <c r="D17" s="8"/>
    </row>
    <row r="18" spans="3:4" ht="16.8" x14ac:dyDescent="0.4">
      <c r="C18" s="2" t="s">
        <v>12</v>
      </c>
      <c r="D18" s="8"/>
    </row>
    <row r="19" spans="3:4" ht="16.8" x14ac:dyDescent="0.4">
      <c r="C19" s="2" t="s">
        <v>13</v>
      </c>
      <c r="D19" s="8"/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861594ED-C547-4BFB-B4F7-0A7D3702B796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436D-0616-4218-AEE6-2DA7F87360A2}">
  <sheetPr codeName="Planilha2"/>
  <dimension ref="A3:E22"/>
  <sheetViews>
    <sheetView showGridLines="0" showRowColHeaders="0" workbookViewId="0">
      <selection activeCell="D21" sqref="D21"/>
    </sheetView>
  </sheetViews>
  <sheetFormatPr defaultRowHeight="14.4" x14ac:dyDescent="0.3"/>
  <cols>
    <col min="1" max="1" width="29.21875" style="1" customWidth="1"/>
    <col min="3" max="3" width="41.21875" customWidth="1"/>
    <col min="4" max="4" width="43.77734375" customWidth="1"/>
  </cols>
  <sheetData>
    <row r="3" spans="3:5" ht="20.399999999999999" thickBot="1" x14ac:dyDescent="0.45">
      <c r="C3" s="3" t="s">
        <v>16</v>
      </c>
      <c r="D3" s="3"/>
    </row>
    <row r="4" spans="3:5" ht="19.95" customHeight="1" thickTop="1" x14ac:dyDescent="0.3">
      <c r="C4" s="23" t="s">
        <v>17</v>
      </c>
      <c r="D4" s="23"/>
      <c r="E4" s="20"/>
    </row>
    <row r="6" spans="3:5" ht="16.8" x14ac:dyDescent="0.4">
      <c r="C6" s="6" t="s">
        <v>76</v>
      </c>
    </row>
    <row r="7" spans="3:5" ht="24.6" customHeight="1" x14ac:dyDescent="0.3">
      <c r="C7" s="24">
        <f>SUM(D11,D16,D21)</f>
        <v>19000</v>
      </c>
      <c r="D7" s="25"/>
    </row>
    <row r="9" spans="3:5" x14ac:dyDescent="0.3">
      <c r="C9" s="5" t="s">
        <v>73</v>
      </c>
    </row>
    <row r="10" spans="3:5" ht="16.8" x14ac:dyDescent="0.4">
      <c r="C10" s="2" t="s">
        <v>18</v>
      </c>
      <c r="D10" s="8" t="s">
        <v>41</v>
      </c>
    </row>
    <row r="11" spans="3:5" ht="16.8" x14ac:dyDescent="0.4">
      <c r="C11" s="2" t="s">
        <v>19</v>
      </c>
      <c r="D11" s="15">
        <v>5000</v>
      </c>
    </row>
    <row r="12" spans="3:5" ht="16.8" x14ac:dyDescent="0.4">
      <c r="C12" s="2" t="s">
        <v>20</v>
      </c>
      <c r="D12" s="8" t="s">
        <v>21</v>
      </c>
    </row>
    <row r="14" spans="3:5" x14ac:dyDescent="0.3">
      <c r="C14" s="5" t="s">
        <v>74</v>
      </c>
    </row>
    <row r="15" spans="3:5" ht="16.8" x14ac:dyDescent="0.4">
      <c r="C15" s="2" t="s">
        <v>18</v>
      </c>
      <c r="D15" s="8" t="s">
        <v>25</v>
      </c>
    </row>
    <row r="16" spans="3:5" ht="16.8" x14ac:dyDescent="0.4">
      <c r="C16" s="2" t="s">
        <v>19</v>
      </c>
      <c r="D16" s="15">
        <v>10000</v>
      </c>
    </row>
    <row r="17" spans="3:4" ht="16.8" x14ac:dyDescent="0.4">
      <c r="C17" s="2" t="s">
        <v>20</v>
      </c>
      <c r="D17" s="8" t="s">
        <v>82</v>
      </c>
    </row>
    <row r="19" spans="3:4" x14ac:dyDescent="0.3">
      <c r="C19" s="5" t="s">
        <v>75</v>
      </c>
    </row>
    <row r="20" spans="3:4" ht="16.8" x14ac:dyDescent="0.4">
      <c r="C20" s="2" t="s">
        <v>18</v>
      </c>
      <c r="D20" s="8" t="s">
        <v>70</v>
      </c>
    </row>
    <row r="21" spans="3:4" ht="16.8" x14ac:dyDescent="0.4">
      <c r="C21" s="2" t="s">
        <v>19</v>
      </c>
      <c r="D21" s="15">
        <v>4000</v>
      </c>
    </row>
    <row r="22" spans="3:4" ht="16.8" x14ac:dyDescent="0.4">
      <c r="C22" s="2" t="s">
        <v>20</v>
      </c>
      <c r="D22" s="8" t="s">
        <v>83</v>
      </c>
    </row>
  </sheetData>
  <sheetProtection sheet="1" selectLockedCells="1"/>
  <mergeCells count="2">
    <mergeCell ref="C7:D7"/>
    <mergeCell ref="C4:D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6CE701F5-1AD2-47ED-812A-DD489D490E0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1DE8-AC43-4A12-8115-F4DD837E0834}">
  <sheetPr codeName="Planilha3"/>
  <dimension ref="A3:E34"/>
  <sheetViews>
    <sheetView showGridLines="0" showRowColHeaders="0" workbookViewId="0">
      <selection activeCell="D9" sqref="D9"/>
    </sheetView>
  </sheetViews>
  <sheetFormatPr defaultRowHeight="14.4" x14ac:dyDescent="0.3"/>
  <cols>
    <col min="1" max="1" width="29.21875" style="1" customWidth="1"/>
    <col min="3" max="3" width="22.5546875" customWidth="1"/>
    <col min="4" max="4" width="19.5546875" customWidth="1"/>
    <col min="5" max="5" width="19.21875" customWidth="1"/>
  </cols>
  <sheetData>
    <row r="3" spans="3:5" ht="20.399999999999999" thickBot="1" x14ac:dyDescent="0.45">
      <c r="C3" s="3" t="s">
        <v>77</v>
      </c>
      <c r="D3" s="3"/>
      <c r="E3" s="19"/>
    </row>
    <row r="4" spans="3:5" ht="19.95" customHeight="1" thickTop="1" x14ac:dyDescent="0.3">
      <c r="C4" s="28" t="s">
        <v>84</v>
      </c>
      <c r="D4" s="28"/>
      <c r="E4" s="28"/>
    </row>
    <row r="7" spans="3:5" ht="16.8" x14ac:dyDescent="0.4">
      <c r="C7" s="26" t="s">
        <v>81</v>
      </c>
      <c r="D7" s="27"/>
      <c r="E7" s="27"/>
    </row>
    <row r="8" spans="3:5" ht="16.8" x14ac:dyDescent="0.3">
      <c r="C8" s="7" t="s">
        <v>78</v>
      </c>
      <c r="D8" s="7" t="s">
        <v>79</v>
      </c>
      <c r="E8" s="7" t="s">
        <v>80</v>
      </c>
    </row>
    <row r="9" spans="3:5" ht="16.8" x14ac:dyDescent="0.3">
      <c r="C9" s="16">
        <v>46278</v>
      </c>
      <c r="D9" s="17"/>
      <c r="E9" s="18">
        <v>2000</v>
      </c>
    </row>
    <row r="10" spans="3:5" ht="16.8" x14ac:dyDescent="0.3">
      <c r="C10" s="17"/>
      <c r="D10" s="17"/>
      <c r="E10" s="18"/>
    </row>
    <row r="11" spans="3:5" ht="16.8" x14ac:dyDescent="0.3">
      <c r="C11" s="17"/>
      <c r="D11" s="17"/>
      <c r="E11" s="18"/>
    </row>
    <row r="12" spans="3:5" ht="16.8" x14ac:dyDescent="0.3">
      <c r="C12" s="17"/>
      <c r="D12" s="17"/>
      <c r="E12" s="18"/>
    </row>
    <row r="13" spans="3:5" ht="16.8" x14ac:dyDescent="0.3">
      <c r="C13" s="17"/>
      <c r="D13" s="17"/>
      <c r="E13" s="18"/>
    </row>
    <row r="14" spans="3:5" ht="16.8" x14ac:dyDescent="0.3">
      <c r="C14" s="17"/>
      <c r="D14" s="17"/>
      <c r="E14" s="18"/>
    </row>
    <row r="15" spans="3:5" ht="16.8" x14ac:dyDescent="0.3">
      <c r="C15" s="17"/>
      <c r="D15" s="17"/>
      <c r="E15" s="18"/>
    </row>
    <row r="16" spans="3:5" ht="16.8" x14ac:dyDescent="0.3">
      <c r="C16" s="17"/>
      <c r="D16" s="17"/>
      <c r="E16" s="18"/>
    </row>
    <row r="17" spans="3:5" ht="16.8" x14ac:dyDescent="0.3">
      <c r="C17" s="17"/>
      <c r="D17" s="17"/>
      <c r="E17" s="18"/>
    </row>
    <row r="18" spans="3:5" ht="16.8" x14ac:dyDescent="0.3">
      <c r="C18" s="17"/>
      <c r="D18" s="17"/>
      <c r="E18" s="18"/>
    </row>
    <row r="19" spans="3:5" ht="16.8" x14ac:dyDescent="0.3">
      <c r="C19" s="17"/>
      <c r="D19" s="17"/>
      <c r="E19" s="18"/>
    </row>
    <row r="20" spans="3:5" ht="16.8" x14ac:dyDescent="0.3">
      <c r="C20" s="17"/>
      <c r="D20" s="17"/>
      <c r="E20" s="18"/>
    </row>
    <row r="21" spans="3:5" ht="16.8" x14ac:dyDescent="0.3">
      <c r="C21" s="17"/>
      <c r="D21" s="17"/>
      <c r="E21" s="18"/>
    </row>
    <row r="22" spans="3:5" ht="16.8" x14ac:dyDescent="0.3">
      <c r="C22" s="17"/>
      <c r="D22" s="17"/>
      <c r="E22" s="18"/>
    </row>
    <row r="23" spans="3:5" ht="16.8" x14ac:dyDescent="0.3">
      <c r="C23" s="17"/>
      <c r="D23" s="17"/>
      <c r="E23" s="18"/>
    </row>
    <row r="24" spans="3:5" ht="16.8" x14ac:dyDescent="0.3">
      <c r="C24" s="17"/>
      <c r="D24" s="17"/>
      <c r="E24" s="18"/>
    </row>
    <row r="25" spans="3:5" ht="16.8" x14ac:dyDescent="0.3">
      <c r="C25" s="17"/>
      <c r="D25" s="17"/>
      <c r="E25" s="18"/>
    </row>
    <row r="26" spans="3:5" ht="16.8" x14ac:dyDescent="0.3">
      <c r="C26" s="17"/>
      <c r="D26" s="17"/>
      <c r="E26" s="18"/>
    </row>
    <row r="27" spans="3:5" ht="16.8" x14ac:dyDescent="0.3">
      <c r="C27" s="17"/>
      <c r="D27" s="17"/>
      <c r="E27" s="18"/>
    </row>
    <row r="28" spans="3:5" ht="16.8" x14ac:dyDescent="0.3">
      <c r="C28" s="17"/>
      <c r="D28" s="17"/>
      <c r="E28" s="18"/>
    </row>
    <row r="29" spans="3:5" ht="16.8" x14ac:dyDescent="0.3">
      <c r="C29" s="17"/>
      <c r="D29" s="17"/>
      <c r="E29" s="18"/>
    </row>
    <row r="30" spans="3:5" ht="16.8" x14ac:dyDescent="0.3">
      <c r="C30" s="17"/>
      <c r="D30" s="17"/>
      <c r="E30" s="18"/>
    </row>
    <row r="31" spans="3:5" ht="16.8" x14ac:dyDescent="0.3">
      <c r="C31" s="17"/>
      <c r="D31" s="17"/>
      <c r="E31" s="18"/>
    </row>
    <row r="32" spans="3:5" ht="16.8" x14ac:dyDescent="0.3">
      <c r="C32" s="17"/>
      <c r="D32" s="17"/>
      <c r="E32" s="18"/>
    </row>
    <row r="33" spans="3:5" ht="16.8" x14ac:dyDescent="0.3">
      <c r="C33" s="17"/>
      <c r="D33" s="17"/>
      <c r="E33" s="18"/>
    </row>
    <row r="34" spans="3:5" ht="16.8" x14ac:dyDescent="0.3">
      <c r="C34" s="17"/>
      <c r="D34" s="17"/>
      <c r="E34" s="18"/>
    </row>
  </sheetData>
  <sheetProtection sheet="1" objects="1" scenarios="1" selectLockedCells="1"/>
  <mergeCells count="2">
    <mergeCell ref="C7:E7"/>
    <mergeCell ref="C4:E4"/>
  </mergeCells>
  <dataValidations count="1">
    <dataValidation type="list" allowBlank="1" showInputMessage="1" showErrorMessage="1" sqref="D9:D34" xr:uid="{43DBCE76-A1AE-415F-ADAC-89D982BDFBC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9960-5426-4E34-97EF-A76CBE98B276}">
  <dimension ref="A1:N51"/>
  <sheetViews>
    <sheetView topLeftCell="B25" workbookViewId="0">
      <selection activeCell="M40" sqref="M40"/>
    </sheetView>
  </sheetViews>
  <sheetFormatPr defaultRowHeight="14.4" x14ac:dyDescent="0.3"/>
  <cols>
    <col min="1" max="1" width="34.88671875" bestFit="1" customWidth="1"/>
    <col min="13" max="13" width="26" bestFit="1" customWidth="1"/>
    <col min="14" max="14" width="12.5546875" bestFit="1" customWidth="1"/>
  </cols>
  <sheetData>
    <row r="1" spans="1:1" x14ac:dyDescent="0.3">
      <c r="A1" s="4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4" x14ac:dyDescent="0.3">
      <c r="A17" t="s">
        <v>38</v>
      </c>
    </row>
    <row r="18" spans="1:14" x14ac:dyDescent="0.3">
      <c r="A18" t="s">
        <v>39</v>
      </c>
    </row>
    <row r="19" spans="1:14" x14ac:dyDescent="0.3">
      <c r="A19" t="s">
        <v>40</v>
      </c>
    </row>
    <row r="20" spans="1:14" x14ac:dyDescent="0.3">
      <c r="A20" t="s">
        <v>41</v>
      </c>
    </row>
    <row r="21" spans="1:14" x14ac:dyDescent="0.3">
      <c r="A21" t="s">
        <v>42</v>
      </c>
    </row>
    <row r="22" spans="1:14" x14ac:dyDescent="0.3">
      <c r="A22" t="s">
        <v>43</v>
      </c>
    </row>
    <row r="23" spans="1:14" x14ac:dyDescent="0.3">
      <c r="A23" t="s">
        <v>44</v>
      </c>
    </row>
    <row r="24" spans="1:14" x14ac:dyDescent="0.3">
      <c r="A24" t="s">
        <v>45</v>
      </c>
    </row>
    <row r="25" spans="1:14" x14ac:dyDescent="0.3">
      <c r="A25" t="s">
        <v>46</v>
      </c>
    </row>
    <row r="26" spans="1:14" x14ac:dyDescent="0.3">
      <c r="A26" t="s">
        <v>47</v>
      </c>
    </row>
    <row r="27" spans="1:14" x14ac:dyDescent="0.3">
      <c r="A27" t="s">
        <v>48</v>
      </c>
    </row>
    <row r="28" spans="1:14" x14ac:dyDescent="0.3">
      <c r="A28" t="s">
        <v>49</v>
      </c>
    </row>
    <row r="29" spans="1:14" x14ac:dyDescent="0.3">
      <c r="A29" t="s">
        <v>50</v>
      </c>
    </row>
    <row r="30" spans="1:14" x14ac:dyDescent="0.3">
      <c r="A30" t="s">
        <v>51</v>
      </c>
      <c r="M30" s="22" t="s">
        <v>85</v>
      </c>
      <c r="N30" s="22" t="s">
        <v>19</v>
      </c>
    </row>
    <row r="31" spans="1:14" x14ac:dyDescent="0.3">
      <c r="A31" t="s">
        <v>52</v>
      </c>
      <c r="M31" t="str">
        <f>INFORMES!D10</f>
        <v>33 - Banco Santander</v>
      </c>
      <c r="N31" s="21">
        <f>INFORMES!D11</f>
        <v>5000</v>
      </c>
    </row>
    <row r="32" spans="1:14" x14ac:dyDescent="0.3">
      <c r="A32" t="s">
        <v>53</v>
      </c>
      <c r="M32" t="str">
        <f>INFORMES!D15</f>
        <v>104 - Caixa Econômica Federal</v>
      </c>
      <c r="N32" s="21">
        <f>INFORMES!D16</f>
        <v>10000</v>
      </c>
    </row>
    <row r="33" spans="1:14" x14ac:dyDescent="0.3">
      <c r="A33" t="s">
        <v>54</v>
      </c>
      <c r="M33" t="str">
        <f>INFORMES!D20</f>
        <v>77 - Banco Inter</v>
      </c>
      <c r="N33" s="21">
        <f>INFORMES!D21</f>
        <v>4000</v>
      </c>
    </row>
    <row r="34" spans="1:14" x14ac:dyDescent="0.3">
      <c r="A34" t="s">
        <v>55</v>
      </c>
    </row>
    <row r="35" spans="1:14" x14ac:dyDescent="0.3">
      <c r="A35" t="s">
        <v>56</v>
      </c>
    </row>
    <row r="36" spans="1:14" x14ac:dyDescent="0.3">
      <c r="A36" t="s">
        <v>57</v>
      </c>
    </row>
    <row r="37" spans="1:14" x14ac:dyDescent="0.3">
      <c r="A37" t="s">
        <v>58</v>
      </c>
    </row>
    <row r="38" spans="1:14" x14ac:dyDescent="0.3">
      <c r="A38" t="s">
        <v>59</v>
      </c>
    </row>
    <row r="39" spans="1:14" x14ac:dyDescent="0.3">
      <c r="A39" t="s">
        <v>60</v>
      </c>
    </row>
    <row r="40" spans="1:14" x14ac:dyDescent="0.3">
      <c r="A40" t="s">
        <v>61</v>
      </c>
    </row>
    <row r="41" spans="1:14" x14ac:dyDescent="0.3">
      <c r="A41" t="s">
        <v>62</v>
      </c>
    </row>
    <row r="42" spans="1:14" x14ac:dyDescent="0.3">
      <c r="A42" t="s">
        <v>63</v>
      </c>
    </row>
    <row r="43" spans="1:14" x14ac:dyDescent="0.3">
      <c r="A43" t="s">
        <v>64</v>
      </c>
    </row>
    <row r="44" spans="1:14" x14ac:dyDescent="0.3">
      <c r="A44" t="s">
        <v>65</v>
      </c>
    </row>
    <row r="45" spans="1:14" x14ac:dyDescent="0.3">
      <c r="A45" t="s">
        <v>66</v>
      </c>
    </row>
    <row r="46" spans="1:14" x14ac:dyDescent="0.3">
      <c r="A46" t="s">
        <v>67</v>
      </c>
    </row>
    <row r="47" spans="1:14" x14ac:dyDescent="0.3">
      <c r="A47" t="s">
        <v>68</v>
      </c>
    </row>
    <row r="48" spans="1:14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Gomes</dc:creator>
  <cp:lastModifiedBy>Ramon Gomes</cp:lastModifiedBy>
  <dcterms:created xsi:type="dcterms:W3CDTF">2026-09-12T23:53:31Z</dcterms:created>
  <dcterms:modified xsi:type="dcterms:W3CDTF">2026-10-09T23:07:26Z</dcterms:modified>
</cp:coreProperties>
</file>